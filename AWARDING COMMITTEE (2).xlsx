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WARDS COUNT" sheetId="1" r:id="rId5"/>
    <sheet state="visible" name="REVISED AWARDS COUN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tc={09cb88d3-f6c4-4938-99c1-a4d47cac5902}</author>
    <author>tc={18f83736-f3bd-4af1-9fd1-3515e310569c}</author>
    <author>tc={5f51cd93-62da-4fbb-9b36-ed093254f5c5}</author>
  </authors>
  <commentList>
    <comment authorId="0" xr:uid="{09cb88d3-f6c4-4938-99c1-a4d47cac5902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these kinds of special awards can be plastic medals instead of gold again so that there will be no redundancy
</t>
      </text>
    </comment>
    <comment authorId="1" xr:uid="{18f83736-f3bd-4af1-9fd1-3515e310569c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comment na plastic medals na lang
Reply:
	done naaa
</t>
      </text>
    </comment>
    <comment authorId="2" xr:uid="{5f51cd93-62da-4fbb-9b36-ed093254f5c5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DELETE, only 3 teams are participating teams
</t>
      </text>
    </comment>
  </commentList>
</comments>
</file>

<file path=xl/sharedStrings.xml><?xml version="1.0" encoding="utf-8"?>
<sst xmlns="http://schemas.openxmlformats.org/spreadsheetml/2006/main" count="441" uniqueCount="81">
  <si>
    <t>Sport / Category</t>
  </si>
  <si>
    <t>Award</t>
  </si>
  <si>
    <t>Plaque</t>
  </si>
  <si>
    <t>Medal (max)</t>
  </si>
  <si>
    <t>Basketball (Men)</t>
  </si>
  <si>
    <t>Champion</t>
  </si>
  <si>
    <t>1st Runner-Up</t>
  </si>
  <si>
    <t>2nd Runner-Up</t>
  </si>
  <si>
    <t>Quantity</t>
  </si>
  <si>
    <t>MVP</t>
  </si>
  <si>
    <t>Medal</t>
  </si>
  <si>
    <t>Finals MVP</t>
  </si>
  <si>
    <t>Mythical Five</t>
  </si>
  <si>
    <t>Grand Champion</t>
  </si>
  <si>
    <t>Basketball (Women)</t>
  </si>
  <si>
    <t>Best Libero</t>
  </si>
  <si>
    <t>Volleyball (Men)</t>
  </si>
  <si>
    <t>Best Setter</t>
  </si>
  <si>
    <t>Best Outside Hitter (1st)</t>
  </si>
  <si>
    <t>Best Outside Hitter (2nd)</t>
  </si>
  <si>
    <t>Best Opposite Spiker</t>
  </si>
  <si>
    <t>Best Middle Blocker (1st)</t>
  </si>
  <si>
    <t>Volleyball (Women)</t>
  </si>
  <si>
    <t>Best Middle Blocker (2nd)</t>
  </si>
  <si>
    <t>GRAND TOTAL</t>
  </si>
  <si>
    <t>Volleyball (Overall)</t>
  </si>
  <si>
    <t>E-Sports (Mobile Legends)</t>
  </si>
  <si>
    <t>E-Sports (COD Mobile)</t>
  </si>
  <si>
    <t>E-Sports (Valorant)</t>
  </si>
  <si>
    <t>E-Sports (League of Legends)</t>
  </si>
  <si>
    <t>Badminton (Singles Men)</t>
  </si>
  <si>
    <t>Badminton (Singles Women)</t>
  </si>
  <si>
    <t>Badminton (Mixed Doubles)</t>
  </si>
  <si>
    <t>Table Tennis (Singles Men)</t>
  </si>
  <si>
    <t>Table Tennis (Singles Women)</t>
  </si>
  <si>
    <t>Table Tennis (Mixed Doubles)</t>
  </si>
  <si>
    <t>Men's Chess</t>
  </si>
  <si>
    <t>Women's Chess</t>
  </si>
  <si>
    <t>Scrabble</t>
  </si>
  <si>
    <t>GOtG</t>
  </si>
  <si>
    <t>GotG</t>
  </si>
  <si>
    <t>Category</t>
  </si>
  <si>
    <t>Sport</t>
  </si>
  <si>
    <t>Division</t>
  </si>
  <si>
    <t>Qty</t>
  </si>
  <si>
    <t>Type</t>
  </si>
  <si>
    <t>Physical</t>
  </si>
  <si>
    <t>Basketball</t>
  </si>
  <si>
    <t>Men’s</t>
  </si>
  <si>
    <t>plaque/trophy</t>
  </si>
  <si>
    <t>gold medals</t>
  </si>
  <si>
    <t>silver medals</t>
  </si>
  <si>
    <t>bronze medals</t>
  </si>
  <si>
    <t>plastic medals</t>
  </si>
  <si>
    <t>Gold Medals</t>
  </si>
  <si>
    <t>Silver Medals</t>
  </si>
  <si>
    <t>Bronze Medals</t>
  </si>
  <si>
    <t>Plastic Medal</t>
  </si>
  <si>
    <t>Plaque / Trophy</t>
  </si>
  <si>
    <t>Women’s</t>
  </si>
  <si>
    <t>E-Sports</t>
  </si>
  <si>
    <t>Intellectual</t>
  </si>
  <si>
    <t>TOTAL</t>
  </si>
  <si>
    <t>TOTAL MEDALS</t>
  </si>
  <si>
    <t>TOTAL PLAQUES</t>
  </si>
  <si>
    <t>Volleyball</t>
  </si>
  <si>
    <t>Women's</t>
  </si>
  <si>
    <t>Badminton</t>
  </si>
  <si>
    <t>Singles Men</t>
  </si>
  <si>
    <t>Singles Women</t>
  </si>
  <si>
    <t>Mixed Doubles</t>
  </si>
  <si>
    <t>Table Tennis</t>
  </si>
  <si>
    <t>MLBB</t>
  </si>
  <si>
    <t>—</t>
  </si>
  <si>
    <t>LoL</t>
  </si>
  <si>
    <t>Valorant</t>
  </si>
  <si>
    <t>plastic medlas</t>
  </si>
  <si>
    <t>CODM</t>
  </si>
  <si>
    <t>Chess</t>
  </si>
  <si>
    <t>Men</t>
  </si>
  <si>
    <t>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</si>
</sst>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CCCCCC"/>
        <bgColor rgb="FFCCCCCC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/>
    </xf>
    <xf borderId="6" fillId="2" fontId="1" numFmtId="0" xfId="0" applyAlignment="1" applyBorder="1" applyFill="1" applyFont="1">
      <alignment readingOrder="0"/>
    </xf>
    <xf borderId="6" fillId="0" fontId="2" numFmtId="0" xfId="0" applyBorder="1" applyFont="1"/>
    <xf borderId="3" fillId="0" fontId="2" numFmtId="0" xfId="0" applyBorder="1" applyFont="1"/>
    <xf borderId="6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0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1" numFmtId="0" xfId="0" applyFont="1"/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shrinkToFit="0" vertical="center" wrapText="1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11" fillId="0" fontId="4" numFmtId="0" xfId="0" applyAlignment="1" applyBorder="1" applyFont="1">
      <alignment horizontal="right" vertical="bottom"/>
    </xf>
    <xf borderId="12" fillId="0" fontId="3" numFmtId="0" xfId="0" applyBorder="1" applyFont="1"/>
    <xf borderId="7" fillId="0" fontId="3" numFmtId="0" xfId="0" applyBorder="1" applyFont="1"/>
    <xf borderId="11" fillId="0" fontId="4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omi Hannah Cuerdo" id="{ca0dd646-acbd-47cb-a43c-5bf2ae31076b}" providerId="google-sheets"/>
  <x18tc:person displayName="Kyte Daiter Percia" id="{3694f299-d495-4c8b-bb81-f712e243397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2-23T06:38:48.00" personId="{3694f299-d495-4c8b-bb81-f712e2433976}" id="{18f83736-f3bd-4af1-9fd1-3515e310569c}" done="0">
    <x18tc:text xml:space="preserve">same comment na plastic medals na lang</x18tc:text>
  </x18tc:threadedComment>
  <x18tc:threadedComment ref="F15" dT="2026-02-23T07:07:28.00" personId="{ca0dd646-acbd-47cb-a43c-5bf2ae31076b}" id="{108dc27e-d657-4554-b5a5-f1c5009bb067}" parentId="{18f83736-f3bd-4af1-9fd1-3515e310569c}">
    <x18tc:text xml:space="preserve">done naaa</x18tc:text>
  </x18tc:threadedComment>
  <x18tc:threadedComment ref="D12" dT="2026-02-23T06:37:03.00" personId="{3694f299-d495-4c8b-bb81-f712e2433976}" id="{5f51cd93-62da-4fbb-9b36-ed093254f5c5}" done="1">
    <x18tc:text xml:space="preserve">DELETE, only 3 teams are participating teams</x18tc:text>
  </x18tc:threadedComment>
  <x18tc:threadedComment ref="F8" dT="2026-02-23T06:36:23.00" personId="{3694f299-d495-4c8b-bb81-f712e2433976}" id="{09cb88d3-f6c4-4938-99c1-a4d47cac5902}" done="0">
    <x18tc:text xml:space="preserve">maybe these kinds of special awards can be plastic medals instead of gold again so that there will be no redundancy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5"/>
    <col customWidth="1" min="2" max="2" width="20.13"/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</v>
      </c>
      <c r="D2" s="2">
        <v>12.0</v>
      </c>
    </row>
    <row r="3">
      <c r="A3" s="2" t="s">
        <v>4</v>
      </c>
      <c r="B3" s="2" t="s">
        <v>6</v>
      </c>
      <c r="D3" s="2">
        <v>12.0</v>
      </c>
      <c r="G3" s="3"/>
      <c r="H3" s="3"/>
    </row>
    <row r="4">
      <c r="A4" s="2" t="s">
        <v>4</v>
      </c>
      <c r="B4" s="2" t="s">
        <v>7</v>
      </c>
      <c r="D4" s="2">
        <v>12.0</v>
      </c>
      <c r="F4" s="4" t="s">
        <v>1</v>
      </c>
      <c r="G4" s="5" t="s">
        <v>8</v>
      </c>
      <c r="H4" s="6"/>
    </row>
    <row r="5">
      <c r="A5" s="2" t="s">
        <v>4</v>
      </c>
      <c r="B5" s="2" t="s">
        <v>9</v>
      </c>
      <c r="D5" s="2">
        <v>1.0</v>
      </c>
      <c r="F5" s="7"/>
      <c r="G5" s="1" t="s">
        <v>2</v>
      </c>
      <c r="H5" s="8" t="s">
        <v>10</v>
      </c>
    </row>
    <row r="6" ht="18.0" customHeight="1">
      <c r="A6" s="2" t="s">
        <v>4</v>
      </c>
      <c r="B6" s="2" t="s">
        <v>11</v>
      </c>
      <c r="D6" s="2">
        <v>1.0</v>
      </c>
      <c r="F6" s="9" t="s">
        <v>5</v>
      </c>
      <c r="G6" s="10">
        <f t="shared" ref="G6:G19" si="1">SUMIF($B:$B, F6, $C:$C)</f>
        <v>13</v>
      </c>
      <c r="H6" s="11">
        <f t="shared" ref="H6:H19" si="2">SUMIF($B:$B, F6, $D:$D)</f>
        <v>92</v>
      </c>
    </row>
    <row r="7">
      <c r="A7" s="2" t="s">
        <v>4</v>
      </c>
      <c r="B7" s="2" t="s">
        <v>12</v>
      </c>
      <c r="D7" s="2">
        <v>5.0</v>
      </c>
      <c r="F7" s="9" t="s">
        <v>13</v>
      </c>
      <c r="G7" s="10">
        <f t="shared" si="1"/>
        <v>0</v>
      </c>
      <c r="H7" s="11">
        <f t="shared" si="2"/>
        <v>7</v>
      </c>
    </row>
    <row r="8">
      <c r="A8" s="2" t="s">
        <v>14</v>
      </c>
      <c r="B8" s="2" t="s">
        <v>5</v>
      </c>
      <c r="C8" s="2">
        <v>1.0</v>
      </c>
      <c r="D8" s="2">
        <v>12.0</v>
      </c>
      <c r="F8" s="12" t="s">
        <v>6</v>
      </c>
      <c r="G8" s="10">
        <f t="shared" si="1"/>
        <v>0</v>
      </c>
      <c r="H8" s="11">
        <f t="shared" si="2"/>
        <v>99</v>
      </c>
    </row>
    <row r="9">
      <c r="A9" s="2" t="s">
        <v>14</v>
      </c>
      <c r="B9" s="2" t="s">
        <v>6</v>
      </c>
      <c r="D9" s="2">
        <v>12.0</v>
      </c>
      <c r="F9" s="13" t="s">
        <v>7</v>
      </c>
      <c r="G9" s="10">
        <f t="shared" si="1"/>
        <v>0</v>
      </c>
      <c r="H9" s="11">
        <f t="shared" si="2"/>
        <v>99</v>
      </c>
    </row>
    <row r="10">
      <c r="A10" s="2" t="s">
        <v>14</v>
      </c>
      <c r="B10" s="2" t="s">
        <v>7</v>
      </c>
      <c r="D10" s="2">
        <v>12.0</v>
      </c>
      <c r="F10" s="14" t="s">
        <v>9</v>
      </c>
      <c r="G10" s="10">
        <f t="shared" si="1"/>
        <v>0</v>
      </c>
      <c r="H10" s="11">
        <f t="shared" si="2"/>
        <v>8</v>
      </c>
    </row>
    <row r="11">
      <c r="A11" s="2" t="s">
        <v>14</v>
      </c>
      <c r="B11" s="2" t="s">
        <v>9</v>
      </c>
      <c r="D11" s="2">
        <v>1.0</v>
      </c>
      <c r="F11" s="14" t="s">
        <v>11</v>
      </c>
      <c r="G11" s="10">
        <f t="shared" si="1"/>
        <v>0</v>
      </c>
      <c r="H11" s="11">
        <f t="shared" si="2"/>
        <v>8</v>
      </c>
    </row>
    <row r="12">
      <c r="A12" s="2" t="s">
        <v>14</v>
      </c>
      <c r="B12" s="2" t="s">
        <v>11</v>
      </c>
      <c r="D12" s="2">
        <v>1.0</v>
      </c>
      <c r="F12" s="14" t="s">
        <v>12</v>
      </c>
      <c r="G12" s="10">
        <f t="shared" si="1"/>
        <v>0</v>
      </c>
      <c r="H12" s="11">
        <f t="shared" si="2"/>
        <v>10</v>
      </c>
    </row>
    <row r="13">
      <c r="A13" s="2" t="s">
        <v>14</v>
      </c>
      <c r="B13" s="2" t="s">
        <v>12</v>
      </c>
      <c r="D13" s="2">
        <v>5.0</v>
      </c>
      <c r="F13" s="14" t="s">
        <v>15</v>
      </c>
      <c r="G13" s="10">
        <f t="shared" si="1"/>
        <v>0</v>
      </c>
      <c r="H13" s="11">
        <f t="shared" si="2"/>
        <v>2</v>
      </c>
    </row>
    <row r="14">
      <c r="A14" s="2" t="s">
        <v>16</v>
      </c>
      <c r="B14" s="2" t="s">
        <v>5</v>
      </c>
      <c r="C14" s="2">
        <v>1.0</v>
      </c>
      <c r="D14" s="2">
        <v>15.0</v>
      </c>
      <c r="F14" s="14" t="s">
        <v>17</v>
      </c>
      <c r="G14" s="10">
        <f t="shared" si="1"/>
        <v>0</v>
      </c>
      <c r="H14" s="11">
        <f t="shared" si="2"/>
        <v>2</v>
      </c>
    </row>
    <row r="15">
      <c r="A15" s="2" t="s">
        <v>16</v>
      </c>
      <c r="B15" s="2" t="s">
        <v>6</v>
      </c>
      <c r="D15" s="2">
        <v>15.0</v>
      </c>
      <c r="F15" s="14" t="s">
        <v>18</v>
      </c>
      <c r="G15" s="10">
        <f t="shared" si="1"/>
        <v>0</v>
      </c>
      <c r="H15" s="11">
        <f t="shared" si="2"/>
        <v>2</v>
      </c>
    </row>
    <row r="16">
      <c r="A16" s="2" t="s">
        <v>16</v>
      </c>
      <c r="B16" s="2" t="s">
        <v>7</v>
      </c>
      <c r="D16" s="2">
        <v>15.0</v>
      </c>
      <c r="F16" s="14" t="s">
        <v>19</v>
      </c>
      <c r="G16" s="10">
        <f t="shared" si="1"/>
        <v>0</v>
      </c>
      <c r="H16" s="11">
        <f t="shared" si="2"/>
        <v>2</v>
      </c>
    </row>
    <row r="17">
      <c r="A17" s="2" t="s">
        <v>16</v>
      </c>
      <c r="B17" s="2" t="s">
        <v>9</v>
      </c>
      <c r="D17" s="2">
        <v>1.0</v>
      </c>
      <c r="F17" s="14" t="s">
        <v>20</v>
      </c>
      <c r="G17" s="10">
        <f t="shared" si="1"/>
        <v>0</v>
      </c>
      <c r="H17" s="11">
        <f t="shared" si="2"/>
        <v>2</v>
      </c>
    </row>
    <row r="18">
      <c r="A18" s="2" t="s">
        <v>16</v>
      </c>
      <c r="B18" s="2" t="s">
        <v>11</v>
      </c>
      <c r="D18" s="2">
        <v>1.0</v>
      </c>
      <c r="F18" s="14" t="s">
        <v>21</v>
      </c>
      <c r="G18" s="10">
        <f t="shared" si="1"/>
        <v>0</v>
      </c>
      <c r="H18" s="11">
        <f t="shared" si="2"/>
        <v>2</v>
      </c>
    </row>
    <row r="19">
      <c r="A19" s="2" t="s">
        <v>22</v>
      </c>
      <c r="B19" s="2" t="s">
        <v>5</v>
      </c>
      <c r="C19" s="2">
        <v>1.0</v>
      </c>
      <c r="D19" s="2">
        <v>15.0</v>
      </c>
      <c r="F19" s="14" t="s">
        <v>23</v>
      </c>
      <c r="G19" s="10">
        <f t="shared" si="1"/>
        <v>0</v>
      </c>
      <c r="H19" s="15">
        <f t="shared" si="2"/>
        <v>2</v>
      </c>
    </row>
    <row r="20">
      <c r="A20" s="2" t="s">
        <v>22</v>
      </c>
      <c r="B20" s="2" t="s">
        <v>6</v>
      </c>
      <c r="D20" s="2">
        <v>15.0</v>
      </c>
      <c r="F20" s="16" t="s">
        <v>24</v>
      </c>
      <c r="G20" s="17">
        <f t="shared" ref="G20:H20" si="3">SUM(G6:G19)</f>
        <v>13</v>
      </c>
      <c r="H20" s="18">
        <f t="shared" si="3"/>
        <v>337</v>
      </c>
      <c r="J20" s="19">
        <f>sum(G20:H20)</f>
        <v>350</v>
      </c>
    </row>
    <row r="21">
      <c r="A21" s="2" t="s">
        <v>22</v>
      </c>
      <c r="B21" s="2" t="s">
        <v>7</v>
      </c>
      <c r="C21" s="2"/>
      <c r="D21" s="2">
        <v>15.0</v>
      </c>
    </row>
    <row r="22">
      <c r="A22" s="2" t="s">
        <v>22</v>
      </c>
      <c r="B22" s="2" t="s">
        <v>9</v>
      </c>
      <c r="D22" s="2">
        <v>1.0</v>
      </c>
    </row>
    <row r="23">
      <c r="A23" s="2" t="s">
        <v>22</v>
      </c>
      <c r="B23" s="2" t="s">
        <v>11</v>
      </c>
      <c r="D23" s="2">
        <v>1.0</v>
      </c>
    </row>
    <row r="24">
      <c r="A24" s="2" t="s">
        <v>25</v>
      </c>
      <c r="B24" s="2" t="s">
        <v>15</v>
      </c>
      <c r="D24" s="2">
        <v>2.0</v>
      </c>
    </row>
    <row r="25">
      <c r="A25" s="2" t="s">
        <v>25</v>
      </c>
      <c r="B25" s="2" t="s">
        <v>17</v>
      </c>
      <c r="D25" s="2">
        <v>2.0</v>
      </c>
    </row>
    <row r="26">
      <c r="A26" s="2" t="s">
        <v>25</v>
      </c>
      <c r="B26" s="2" t="s">
        <v>18</v>
      </c>
      <c r="D26" s="2">
        <v>2.0</v>
      </c>
    </row>
    <row r="27">
      <c r="A27" s="2" t="s">
        <v>25</v>
      </c>
      <c r="B27" s="2" t="s">
        <v>19</v>
      </c>
      <c r="D27" s="2">
        <v>2.0</v>
      </c>
    </row>
    <row r="28">
      <c r="A28" s="2" t="s">
        <v>25</v>
      </c>
      <c r="B28" s="2" t="s">
        <v>20</v>
      </c>
      <c r="D28" s="2">
        <v>2.0</v>
      </c>
    </row>
    <row r="29">
      <c r="A29" s="2" t="s">
        <v>25</v>
      </c>
      <c r="B29" s="2" t="s">
        <v>21</v>
      </c>
      <c r="D29" s="2">
        <v>2.0</v>
      </c>
    </row>
    <row r="30">
      <c r="A30" s="2" t="s">
        <v>25</v>
      </c>
      <c r="B30" s="2" t="s">
        <v>23</v>
      </c>
      <c r="D30" s="2">
        <v>2.0</v>
      </c>
    </row>
    <row r="31">
      <c r="A31" s="2" t="s">
        <v>26</v>
      </c>
      <c r="B31" s="2" t="s">
        <v>9</v>
      </c>
      <c r="D31" s="2">
        <v>1.0</v>
      </c>
    </row>
    <row r="32">
      <c r="A32" s="2" t="s">
        <v>26</v>
      </c>
      <c r="B32" s="2" t="s">
        <v>11</v>
      </c>
      <c r="D32" s="2">
        <v>1.0</v>
      </c>
    </row>
    <row r="33">
      <c r="A33" s="2" t="s">
        <v>26</v>
      </c>
      <c r="B33" s="2" t="s">
        <v>5</v>
      </c>
      <c r="C33" s="2">
        <v>1.0</v>
      </c>
      <c r="D33" s="2">
        <v>6.0</v>
      </c>
    </row>
    <row r="34">
      <c r="A34" s="2" t="s">
        <v>26</v>
      </c>
      <c r="B34" s="2" t="s">
        <v>6</v>
      </c>
      <c r="D34" s="2">
        <v>6.0</v>
      </c>
    </row>
    <row r="35">
      <c r="A35" s="2" t="s">
        <v>26</v>
      </c>
      <c r="B35" s="2" t="s">
        <v>7</v>
      </c>
      <c r="D35" s="2">
        <v>6.0</v>
      </c>
    </row>
    <row r="36">
      <c r="A36" s="2" t="s">
        <v>27</v>
      </c>
      <c r="B36" s="2" t="s">
        <v>9</v>
      </c>
      <c r="D36" s="2">
        <v>1.0</v>
      </c>
    </row>
    <row r="37">
      <c r="A37" s="2" t="s">
        <v>27</v>
      </c>
      <c r="B37" s="2" t="s">
        <v>11</v>
      </c>
      <c r="D37" s="2">
        <v>1.0</v>
      </c>
    </row>
    <row r="38">
      <c r="A38" s="2" t="s">
        <v>27</v>
      </c>
      <c r="B38" s="2" t="s">
        <v>5</v>
      </c>
      <c r="D38" s="2">
        <v>6.0</v>
      </c>
    </row>
    <row r="39">
      <c r="A39" s="2" t="s">
        <v>27</v>
      </c>
      <c r="B39" s="2" t="s">
        <v>6</v>
      </c>
      <c r="D39" s="2">
        <v>6.0</v>
      </c>
    </row>
    <row r="40">
      <c r="A40" s="2" t="s">
        <v>27</v>
      </c>
      <c r="B40" s="2" t="s">
        <v>7</v>
      </c>
      <c r="C40" s="2"/>
      <c r="D40" s="2">
        <v>6.0</v>
      </c>
    </row>
    <row r="41">
      <c r="A41" s="2" t="s">
        <v>28</v>
      </c>
      <c r="B41" s="2" t="s">
        <v>9</v>
      </c>
      <c r="D41" s="2">
        <v>1.0</v>
      </c>
    </row>
    <row r="42">
      <c r="A42" s="2" t="s">
        <v>28</v>
      </c>
      <c r="B42" s="2" t="s">
        <v>11</v>
      </c>
      <c r="D42" s="2">
        <v>1.0</v>
      </c>
    </row>
    <row r="43">
      <c r="A43" s="2" t="s">
        <v>28</v>
      </c>
      <c r="B43" s="2" t="s">
        <v>5</v>
      </c>
      <c r="C43" s="2">
        <v>1.0</v>
      </c>
      <c r="D43" s="2">
        <v>6.0</v>
      </c>
    </row>
    <row r="44">
      <c r="A44" s="2" t="s">
        <v>28</v>
      </c>
      <c r="B44" s="2" t="s">
        <v>6</v>
      </c>
      <c r="C44" s="2"/>
      <c r="D44" s="2">
        <v>6.0</v>
      </c>
    </row>
    <row r="45">
      <c r="A45" s="2" t="s">
        <v>28</v>
      </c>
      <c r="B45" s="2" t="s">
        <v>7</v>
      </c>
      <c r="C45" s="2"/>
      <c r="D45" s="2">
        <v>6.0</v>
      </c>
    </row>
    <row r="46">
      <c r="A46" s="2" t="s">
        <v>29</v>
      </c>
      <c r="B46" s="2" t="s">
        <v>9</v>
      </c>
      <c r="D46" s="2">
        <v>1.0</v>
      </c>
    </row>
    <row r="47">
      <c r="A47" s="2" t="s">
        <v>29</v>
      </c>
      <c r="B47" s="2" t="s">
        <v>11</v>
      </c>
      <c r="D47" s="2">
        <v>1.0</v>
      </c>
    </row>
    <row r="48">
      <c r="A48" s="2" t="s">
        <v>29</v>
      </c>
      <c r="B48" s="2" t="s">
        <v>5</v>
      </c>
      <c r="C48" s="2">
        <v>1.0</v>
      </c>
      <c r="D48" s="2">
        <v>6.0</v>
      </c>
    </row>
    <row r="49">
      <c r="A49" s="2" t="s">
        <v>29</v>
      </c>
      <c r="B49" s="2" t="s">
        <v>6</v>
      </c>
      <c r="C49" s="2"/>
      <c r="D49" s="2">
        <v>6.0</v>
      </c>
    </row>
    <row r="50">
      <c r="A50" s="2" t="s">
        <v>29</v>
      </c>
      <c r="B50" s="2" t="s">
        <v>7</v>
      </c>
      <c r="C50" s="2"/>
      <c r="D50" s="2">
        <v>6.0</v>
      </c>
    </row>
    <row r="51">
      <c r="A51" s="2" t="s">
        <v>30</v>
      </c>
      <c r="B51" s="2" t="s">
        <v>5</v>
      </c>
      <c r="C51" s="2">
        <v>1.0</v>
      </c>
      <c r="D51" s="2">
        <v>2.0</v>
      </c>
    </row>
    <row r="52">
      <c r="A52" s="2" t="s">
        <v>30</v>
      </c>
      <c r="B52" s="2" t="s">
        <v>6</v>
      </c>
      <c r="D52" s="2">
        <v>2.0</v>
      </c>
    </row>
    <row r="53">
      <c r="A53" s="2" t="s">
        <v>30</v>
      </c>
      <c r="B53" s="2" t="s">
        <v>7</v>
      </c>
      <c r="D53" s="2">
        <v>2.0</v>
      </c>
    </row>
    <row r="54">
      <c r="A54" s="2" t="s">
        <v>31</v>
      </c>
      <c r="B54" s="2" t="s">
        <v>5</v>
      </c>
      <c r="C54" s="2">
        <v>1.0</v>
      </c>
      <c r="D54" s="2">
        <v>2.0</v>
      </c>
    </row>
    <row r="55">
      <c r="A55" s="2" t="s">
        <v>31</v>
      </c>
      <c r="B55" s="2" t="s">
        <v>6</v>
      </c>
      <c r="D55" s="2">
        <v>2.0</v>
      </c>
    </row>
    <row r="56">
      <c r="A56" s="2" t="s">
        <v>31</v>
      </c>
      <c r="B56" s="2" t="s">
        <v>7</v>
      </c>
      <c r="D56" s="2">
        <v>2.0</v>
      </c>
    </row>
    <row r="57">
      <c r="A57" s="2" t="s">
        <v>32</v>
      </c>
      <c r="B57" s="2" t="s">
        <v>5</v>
      </c>
      <c r="C57" s="2">
        <v>1.0</v>
      </c>
      <c r="D57" s="2">
        <v>2.0</v>
      </c>
    </row>
    <row r="58">
      <c r="A58" s="2" t="s">
        <v>32</v>
      </c>
      <c r="B58" s="2" t="s">
        <v>6</v>
      </c>
      <c r="D58" s="2">
        <v>2.0</v>
      </c>
    </row>
    <row r="59">
      <c r="A59" s="2" t="s">
        <v>32</v>
      </c>
      <c r="B59" s="2" t="s">
        <v>7</v>
      </c>
      <c r="D59" s="2">
        <v>2.0</v>
      </c>
    </row>
    <row r="60">
      <c r="A60" s="2" t="s">
        <v>33</v>
      </c>
      <c r="B60" s="2" t="s">
        <v>5</v>
      </c>
      <c r="C60" s="2">
        <v>1.0</v>
      </c>
      <c r="D60" s="2">
        <v>2.0</v>
      </c>
    </row>
    <row r="61">
      <c r="A61" s="2" t="s">
        <v>33</v>
      </c>
      <c r="B61" s="2" t="s">
        <v>6</v>
      </c>
      <c r="D61" s="2">
        <v>2.0</v>
      </c>
    </row>
    <row r="62">
      <c r="A62" s="2" t="s">
        <v>33</v>
      </c>
      <c r="B62" s="2" t="s">
        <v>7</v>
      </c>
      <c r="D62" s="2">
        <v>2.0</v>
      </c>
    </row>
    <row r="63">
      <c r="A63" s="2" t="s">
        <v>34</v>
      </c>
      <c r="B63" s="2" t="s">
        <v>5</v>
      </c>
      <c r="C63" s="2">
        <v>1.0</v>
      </c>
      <c r="D63" s="2">
        <v>2.0</v>
      </c>
    </row>
    <row r="64">
      <c r="A64" s="2" t="s">
        <v>34</v>
      </c>
      <c r="B64" s="2" t="s">
        <v>6</v>
      </c>
      <c r="D64" s="2">
        <v>2.0</v>
      </c>
    </row>
    <row r="65">
      <c r="A65" s="2" t="s">
        <v>34</v>
      </c>
      <c r="B65" s="2" t="s">
        <v>7</v>
      </c>
      <c r="D65" s="2">
        <v>2.0</v>
      </c>
    </row>
    <row r="66">
      <c r="A66" s="20" t="s">
        <v>35</v>
      </c>
      <c r="B66" s="20" t="s">
        <v>5</v>
      </c>
      <c r="C66" s="20">
        <v>1.0</v>
      </c>
      <c r="D66" s="20">
        <v>4.0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" t="s">
        <v>35</v>
      </c>
      <c r="B67" s="2" t="s">
        <v>6</v>
      </c>
      <c r="D67" s="2">
        <v>4.0</v>
      </c>
    </row>
    <row r="68">
      <c r="A68" s="2" t="s">
        <v>35</v>
      </c>
      <c r="B68" s="2" t="s">
        <v>7</v>
      </c>
      <c r="D68" s="2">
        <v>4.0</v>
      </c>
    </row>
    <row r="69">
      <c r="A69" s="2" t="s">
        <v>36</v>
      </c>
      <c r="B69" s="2" t="s">
        <v>13</v>
      </c>
      <c r="D69" s="2">
        <v>1.0</v>
      </c>
    </row>
    <row r="70">
      <c r="A70" s="2" t="s">
        <v>36</v>
      </c>
      <c r="B70" s="2" t="s">
        <v>6</v>
      </c>
      <c r="D70" s="2">
        <v>1.0</v>
      </c>
    </row>
    <row r="71">
      <c r="A71" s="2" t="s">
        <v>36</v>
      </c>
      <c r="B71" s="2" t="s">
        <v>7</v>
      </c>
      <c r="D71" s="2">
        <v>1.0</v>
      </c>
    </row>
    <row r="72">
      <c r="A72" s="2" t="s">
        <v>37</v>
      </c>
      <c r="B72" s="2" t="s">
        <v>13</v>
      </c>
      <c r="D72" s="2">
        <v>2.0</v>
      </c>
    </row>
    <row r="73">
      <c r="A73" s="2" t="s">
        <v>37</v>
      </c>
      <c r="B73" s="2" t="s">
        <v>6</v>
      </c>
      <c r="D73" s="2">
        <v>2.0</v>
      </c>
    </row>
    <row r="74">
      <c r="A74" s="2" t="s">
        <v>37</v>
      </c>
      <c r="B74" s="2" t="s">
        <v>7</v>
      </c>
      <c r="D74" s="2">
        <v>2.0</v>
      </c>
    </row>
    <row r="75">
      <c r="A75" s="2" t="s">
        <v>38</v>
      </c>
      <c r="B75" s="2" t="s">
        <v>13</v>
      </c>
      <c r="D75" s="2">
        <v>2.0</v>
      </c>
    </row>
    <row r="76">
      <c r="A76" s="2" t="s">
        <v>38</v>
      </c>
      <c r="B76" s="2" t="s">
        <v>6</v>
      </c>
      <c r="D76" s="2">
        <v>2.0</v>
      </c>
    </row>
    <row r="77">
      <c r="A77" s="2" t="s">
        <v>38</v>
      </c>
      <c r="B77" s="2" t="s">
        <v>7</v>
      </c>
      <c r="D77" s="2">
        <v>2.0</v>
      </c>
    </row>
    <row r="78">
      <c r="A78" s="2" t="s">
        <v>39</v>
      </c>
      <c r="B78" s="2" t="s">
        <v>13</v>
      </c>
      <c r="D78" s="2">
        <v>2.0</v>
      </c>
    </row>
    <row r="79">
      <c r="A79" s="2" t="s">
        <v>40</v>
      </c>
      <c r="B79" s="2" t="s">
        <v>6</v>
      </c>
      <c r="D79" s="2">
        <v>2.0</v>
      </c>
    </row>
    <row r="80">
      <c r="A80" s="2" t="s">
        <v>40</v>
      </c>
      <c r="B80" s="2" t="s">
        <v>7</v>
      </c>
      <c r="D80" s="2">
        <v>2.0</v>
      </c>
    </row>
    <row r="81">
      <c r="A81" s="22" t="s">
        <v>24</v>
      </c>
      <c r="B81" s="23"/>
      <c r="C81" s="24">
        <f t="shared" ref="C81:D81" si="4">SUM(C2:C80)</f>
        <v>13</v>
      </c>
      <c r="D81" s="24">
        <f t="shared" si="4"/>
        <v>337</v>
      </c>
    </row>
  </sheetData>
  <mergeCells count="2">
    <mergeCell ref="F4:F5"/>
    <mergeCell ref="G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8" max="8" width="10.25"/>
    <col customWidth="1" min="9" max="9" width="23.38"/>
  </cols>
  <sheetData>
    <row r="1">
      <c r="A1" s="25" t="s">
        <v>41</v>
      </c>
      <c r="B1" s="25" t="s">
        <v>42</v>
      </c>
      <c r="C1" s="25" t="s">
        <v>43</v>
      </c>
      <c r="D1" s="25" t="s">
        <v>1</v>
      </c>
      <c r="E1" s="26" t="s">
        <v>44</v>
      </c>
      <c r="F1" s="25" t="s">
        <v>45</v>
      </c>
    </row>
    <row r="2">
      <c r="A2" s="27" t="s">
        <v>46</v>
      </c>
      <c r="B2" s="27" t="s">
        <v>47</v>
      </c>
      <c r="C2" s="28" t="s">
        <v>48</v>
      </c>
      <c r="D2" s="2" t="s">
        <v>5</v>
      </c>
      <c r="E2" s="29">
        <v>1.0</v>
      </c>
      <c r="F2" s="2" t="s">
        <v>49</v>
      </c>
    </row>
    <row r="3">
      <c r="D3" s="2" t="s">
        <v>5</v>
      </c>
      <c r="E3" s="29">
        <v>12.0</v>
      </c>
      <c r="F3" s="2" t="s">
        <v>50</v>
      </c>
    </row>
    <row r="4">
      <c r="D4" s="2" t="s">
        <v>6</v>
      </c>
      <c r="E4" s="29">
        <v>12.0</v>
      </c>
      <c r="F4" s="2" t="s">
        <v>51</v>
      </c>
      <c r="H4" s="19">
        <f>sum(E:E)</f>
        <v>364</v>
      </c>
    </row>
    <row r="5">
      <c r="D5" s="2" t="s">
        <v>7</v>
      </c>
      <c r="E5" s="29">
        <v>12.0</v>
      </c>
      <c r="F5" s="2" t="s">
        <v>52</v>
      </c>
      <c r="I5" s="30"/>
    </row>
    <row r="6">
      <c r="D6" s="2" t="s">
        <v>9</v>
      </c>
      <c r="E6" s="29">
        <v>1.0</v>
      </c>
      <c r="F6" s="2" t="s">
        <v>50</v>
      </c>
    </row>
    <row r="7">
      <c r="D7" s="2" t="s">
        <v>11</v>
      </c>
      <c r="E7" s="29">
        <v>1.0</v>
      </c>
      <c r="F7" s="2" t="s">
        <v>50</v>
      </c>
    </row>
    <row r="8">
      <c r="D8" s="2" t="s">
        <v>12</v>
      </c>
      <c r="E8" s="29">
        <v>5.0</v>
      </c>
      <c r="F8" s="2" t="s">
        <v>53</v>
      </c>
      <c r="H8" s="31" t="s">
        <v>41</v>
      </c>
      <c r="I8" s="31" t="s">
        <v>54</v>
      </c>
      <c r="J8" s="31" t="s">
        <v>55</v>
      </c>
      <c r="K8" s="31" t="s">
        <v>56</v>
      </c>
      <c r="L8" s="32" t="s">
        <v>57</v>
      </c>
      <c r="M8" s="31" t="s">
        <v>58</v>
      </c>
    </row>
    <row r="9">
      <c r="C9" s="33" t="s">
        <v>59</v>
      </c>
      <c r="D9" s="2" t="s">
        <v>5</v>
      </c>
      <c r="E9" s="29">
        <v>1.0</v>
      </c>
      <c r="F9" s="2" t="s">
        <v>49</v>
      </c>
      <c r="H9" s="34" t="s">
        <v>46</v>
      </c>
      <c r="I9" s="35">
        <f>SUMIF($F$2:$F$65,"gold medals",$E$2:$E$65)</f>
        <v>74</v>
      </c>
      <c r="J9" s="35">
        <f>SUMIF($F$2:$F$65,"silver medals",$E$2:$E$65)</f>
        <v>70</v>
      </c>
      <c r="K9" s="35">
        <f>SUMIF($F$2:$F$65,"bronze medals",$E$2:$E$65)</f>
        <v>70</v>
      </c>
      <c r="L9" s="35">
        <f>SUMIF($F$2:$F$65,"plastic medals",$E$2:$E$65)</f>
        <v>28</v>
      </c>
      <c r="M9" s="35">
        <f>SUMIF($F$2:$F$65,"plaque/trophy",$E$2:$E$65)</f>
        <v>10</v>
      </c>
    </row>
    <row r="10">
      <c r="D10" s="2" t="s">
        <v>5</v>
      </c>
      <c r="E10" s="29">
        <v>12.0</v>
      </c>
      <c r="F10" s="2" t="s">
        <v>50</v>
      </c>
      <c r="H10" s="34" t="s">
        <v>60</v>
      </c>
      <c r="I10" s="35">
        <f>SUMIF($F$66:$F$89,"gold medals",$E66:$E$89)</f>
        <v>24</v>
      </c>
      <c r="J10" s="35">
        <f>SUMIF($F$66:$F$89,"silver medals",$E$66:$E$89)</f>
        <v>24</v>
      </c>
      <c r="K10" s="35">
        <f>SUMIF($F$66:$F$89,"bronze medals",$E$66:$E$89)</f>
        <v>24</v>
      </c>
      <c r="L10" s="35">
        <f>SUMIF($F$66:$F$89,"plastic medals",$E$66:$E$89)</f>
        <v>7</v>
      </c>
      <c r="M10" s="35">
        <f>SUMIF($F$66:$F$89,"plaque/trophy",$E$66:$E$89)</f>
        <v>4</v>
      </c>
    </row>
    <row r="11">
      <c r="D11" s="2" t="s">
        <v>6</v>
      </c>
      <c r="E11" s="29">
        <v>12.0</v>
      </c>
      <c r="F11" s="2" t="s">
        <v>51</v>
      </c>
      <c r="H11" s="34" t="s">
        <v>61</v>
      </c>
      <c r="I11" s="35">
        <f>SUMIF($F$90:$F$105,"gold medals",$E$90:$E$105)</f>
        <v>8</v>
      </c>
      <c r="J11" s="35">
        <f>SUMIF($F$90:$F$105,"silver medals",$E$90:$E$105)</f>
        <v>8</v>
      </c>
      <c r="K11" s="35">
        <f>SUMIF($F$90:$F$105,"gold medals",$E$90:$E$105)</f>
        <v>8</v>
      </c>
      <c r="L11" s="35">
        <f>SUMIF($F$90:$F$105,"plastic medals",$E$90:$E$105)</f>
        <v>0</v>
      </c>
      <c r="M11" s="35">
        <f>SUMIF($F$90:$F$105,"plaque/trophy",$E$90:$E$105)</f>
        <v>4</v>
      </c>
    </row>
    <row r="12">
      <c r="D12" s="2" t="s">
        <v>7</v>
      </c>
      <c r="E12" s="29">
        <v>12.0</v>
      </c>
      <c r="F12" s="2" t="s">
        <v>52</v>
      </c>
      <c r="H12" s="36" t="s">
        <v>62</v>
      </c>
      <c r="I12" s="37">
        <f t="shared" ref="I12:J12" si="1">SUM(I9:I11)</f>
        <v>106</v>
      </c>
      <c r="J12" s="37">
        <f t="shared" si="1"/>
        <v>102</v>
      </c>
      <c r="K12" s="37">
        <f t="shared" ref="K12:L12" si="2">sum(K9:K11)</f>
        <v>102</v>
      </c>
      <c r="L12" s="37">
        <f t="shared" si="2"/>
        <v>35</v>
      </c>
      <c r="M12" s="37">
        <f>SUM(M9:M11)</f>
        <v>18</v>
      </c>
    </row>
    <row r="13">
      <c r="D13" s="2" t="s">
        <v>9</v>
      </c>
      <c r="E13" s="29">
        <v>1.0</v>
      </c>
      <c r="F13" s="2" t="s">
        <v>50</v>
      </c>
      <c r="H13" s="38" t="s">
        <v>63</v>
      </c>
      <c r="I13" s="39"/>
      <c r="J13" s="39"/>
      <c r="K13" s="39"/>
      <c r="L13" s="40"/>
      <c r="M13" s="35">
        <f>SUM(I12:L12)</f>
        <v>345</v>
      </c>
    </row>
    <row r="14">
      <c r="D14" s="2" t="s">
        <v>11</v>
      </c>
      <c r="E14" s="29">
        <v>1.0</v>
      </c>
      <c r="F14" s="2" t="s">
        <v>50</v>
      </c>
      <c r="H14" s="41" t="s">
        <v>64</v>
      </c>
      <c r="I14" s="39"/>
      <c r="J14" s="39"/>
      <c r="K14" s="39"/>
      <c r="L14" s="40"/>
      <c r="M14" s="35">
        <f>M12</f>
        <v>18</v>
      </c>
    </row>
    <row r="15">
      <c r="D15" s="2" t="s">
        <v>12</v>
      </c>
      <c r="E15" s="29">
        <v>5.0</v>
      </c>
      <c r="F15" s="2" t="s">
        <v>53</v>
      </c>
      <c r="H15" s="41" t="s">
        <v>24</v>
      </c>
      <c r="I15" s="39"/>
      <c r="J15" s="39"/>
      <c r="K15" s="39"/>
      <c r="L15" s="40"/>
      <c r="M15" s="35">
        <f>sum(M13:M14)</f>
        <v>363</v>
      </c>
    </row>
    <row r="16">
      <c r="B16" s="42" t="s">
        <v>65</v>
      </c>
      <c r="C16" s="28" t="s">
        <v>48</v>
      </c>
      <c r="D16" s="2" t="s">
        <v>5</v>
      </c>
      <c r="E16" s="29">
        <v>1.0</v>
      </c>
      <c r="F16" s="2" t="s">
        <v>49</v>
      </c>
    </row>
    <row r="17">
      <c r="D17" s="2" t="s">
        <v>5</v>
      </c>
      <c r="E17" s="29">
        <v>15.0</v>
      </c>
      <c r="F17" s="2" t="s">
        <v>50</v>
      </c>
    </row>
    <row r="18">
      <c r="D18" s="2" t="s">
        <v>6</v>
      </c>
      <c r="E18" s="29">
        <v>15.0</v>
      </c>
      <c r="F18" s="2" t="s">
        <v>51</v>
      </c>
    </row>
    <row r="19">
      <c r="D19" s="2" t="s">
        <v>7</v>
      </c>
      <c r="E19" s="29">
        <v>15.0</v>
      </c>
      <c r="F19" s="2" t="s">
        <v>52</v>
      </c>
    </row>
    <row r="20">
      <c r="D20" s="2" t="s">
        <v>9</v>
      </c>
      <c r="E20" s="29">
        <v>1.0</v>
      </c>
      <c r="F20" s="2" t="s">
        <v>53</v>
      </c>
    </row>
    <row r="21">
      <c r="D21" s="2" t="s">
        <v>11</v>
      </c>
      <c r="E21" s="29">
        <v>1.0</v>
      </c>
      <c r="F21" s="2" t="s">
        <v>53</v>
      </c>
    </row>
    <row r="22">
      <c r="D22" s="2" t="s">
        <v>15</v>
      </c>
      <c r="E22" s="29">
        <v>1.0</v>
      </c>
      <c r="F22" s="2" t="s">
        <v>53</v>
      </c>
    </row>
    <row r="23">
      <c r="D23" s="2" t="s">
        <v>17</v>
      </c>
      <c r="E23" s="29">
        <v>1.0</v>
      </c>
      <c r="F23" s="2" t="s">
        <v>53</v>
      </c>
    </row>
    <row r="24">
      <c r="D24" s="2" t="s">
        <v>18</v>
      </c>
      <c r="E24" s="29">
        <v>1.0</v>
      </c>
      <c r="F24" s="2" t="s">
        <v>53</v>
      </c>
    </row>
    <row r="25">
      <c r="D25" s="2" t="s">
        <v>19</v>
      </c>
      <c r="E25" s="29">
        <v>1.0</v>
      </c>
      <c r="F25" s="2" t="s">
        <v>53</v>
      </c>
    </row>
    <row r="26">
      <c r="D26" s="2" t="s">
        <v>20</v>
      </c>
      <c r="E26" s="29">
        <v>1.0</v>
      </c>
      <c r="F26" s="2" t="s">
        <v>53</v>
      </c>
    </row>
    <row r="27">
      <c r="D27" s="2" t="s">
        <v>21</v>
      </c>
      <c r="E27" s="29">
        <v>1.0</v>
      </c>
      <c r="F27" s="2" t="s">
        <v>53</v>
      </c>
    </row>
    <row r="28">
      <c r="D28" s="2" t="s">
        <v>23</v>
      </c>
      <c r="E28" s="29">
        <v>1.0</v>
      </c>
      <c r="F28" s="2" t="s">
        <v>53</v>
      </c>
    </row>
    <row r="29">
      <c r="C29" s="28" t="s">
        <v>66</v>
      </c>
      <c r="D29" s="2" t="s">
        <v>5</v>
      </c>
      <c r="E29" s="29">
        <v>1.0</v>
      </c>
      <c r="F29" s="2" t="s">
        <v>49</v>
      </c>
    </row>
    <row r="30">
      <c r="D30" s="2" t="s">
        <v>5</v>
      </c>
      <c r="E30" s="29">
        <v>15.0</v>
      </c>
      <c r="F30" s="2" t="s">
        <v>50</v>
      </c>
    </row>
    <row r="31">
      <c r="D31" s="2" t="s">
        <v>6</v>
      </c>
      <c r="E31" s="29">
        <v>15.0</v>
      </c>
      <c r="F31" s="2" t="s">
        <v>51</v>
      </c>
    </row>
    <row r="32">
      <c r="D32" s="2" t="s">
        <v>7</v>
      </c>
      <c r="E32" s="29">
        <v>15.0</v>
      </c>
      <c r="F32" s="2" t="s">
        <v>52</v>
      </c>
    </row>
    <row r="33">
      <c r="D33" s="2" t="s">
        <v>9</v>
      </c>
      <c r="E33" s="29">
        <v>1.0</v>
      </c>
      <c r="F33" s="2" t="s">
        <v>53</v>
      </c>
    </row>
    <row r="34">
      <c r="D34" s="2" t="s">
        <v>11</v>
      </c>
      <c r="E34" s="29">
        <v>1.0</v>
      </c>
      <c r="F34" s="2" t="s">
        <v>53</v>
      </c>
    </row>
    <row r="35">
      <c r="D35" s="2" t="s">
        <v>18</v>
      </c>
      <c r="E35" s="29">
        <v>1.0</v>
      </c>
      <c r="F35" s="2" t="s">
        <v>53</v>
      </c>
    </row>
    <row r="36">
      <c r="D36" s="2" t="s">
        <v>19</v>
      </c>
      <c r="E36" s="29">
        <v>1.0</v>
      </c>
      <c r="F36" s="2" t="s">
        <v>53</v>
      </c>
    </row>
    <row r="37">
      <c r="D37" s="2" t="s">
        <v>20</v>
      </c>
      <c r="E37" s="29">
        <v>1.0</v>
      </c>
      <c r="F37" s="2" t="s">
        <v>53</v>
      </c>
    </row>
    <row r="38">
      <c r="D38" s="2" t="s">
        <v>21</v>
      </c>
      <c r="E38" s="29">
        <v>1.0</v>
      </c>
      <c r="F38" s="2" t="s">
        <v>53</v>
      </c>
    </row>
    <row r="39">
      <c r="D39" s="2" t="s">
        <v>23</v>
      </c>
      <c r="E39" s="29">
        <v>1.0</v>
      </c>
      <c r="F39" s="2" t="s">
        <v>53</v>
      </c>
    </row>
    <row r="40">
      <c r="D40" s="2" t="s">
        <v>15</v>
      </c>
      <c r="E40" s="29">
        <v>1.0</v>
      </c>
      <c r="F40" s="2" t="s">
        <v>53</v>
      </c>
    </row>
    <row r="41">
      <c r="D41" s="2" t="s">
        <v>17</v>
      </c>
      <c r="E41" s="29">
        <v>1.0</v>
      </c>
      <c r="F41" s="2" t="s">
        <v>53</v>
      </c>
    </row>
    <row r="42">
      <c r="B42" s="42" t="s">
        <v>67</v>
      </c>
      <c r="C42" s="28" t="s">
        <v>68</v>
      </c>
      <c r="D42" s="2" t="s">
        <v>5</v>
      </c>
      <c r="E42" s="29">
        <v>1.0</v>
      </c>
      <c r="F42" s="2" t="s">
        <v>49</v>
      </c>
    </row>
    <row r="43">
      <c r="D43" s="2" t="s">
        <v>5</v>
      </c>
      <c r="E43" s="29">
        <v>2.0</v>
      </c>
      <c r="F43" s="2" t="s">
        <v>50</v>
      </c>
    </row>
    <row r="44">
      <c r="D44" s="2" t="s">
        <v>6</v>
      </c>
      <c r="E44" s="29">
        <v>2.0</v>
      </c>
      <c r="F44" s="2" t="s">
        <v>51</v>
      </c>
    </row>
    <row r="45">
      <c r="D45" s="2" t="s">
        <v>7</v>
      </c>
      <c r="E45" s="29">
        <v>2.0</v>
      </c>
      <c r="F45" s="2" t="s">
        <v>52</v>
      </c>
    </row>
    <row r="46">
      <c r="C46" s="28" t="s">
        <v>69</v>
      </c>
      <c r="D46" s="2" t="s">
        <v>5</v>
      </c>
      <c r="E46" s="29">
        <v>1.0</v>
      </c>
      <c r="F46" s="2" t="s">
        <v>49</v>
      </c>
    </row>
    <row r="47">
      <c r="D47" s="2" t="s">
        <v>5</v>
      </c>
      <c r="E47" s="29">
        <v>2.0</v>
      </c>
      <c r="F47" s="2" t="s">
        <v>50</v>
      </c>
    </row>
    <row r="48">
      <c r="D48" s="2" t="s">
        <v>6</v>
      </c>
      <c r="E48" s="29">
        <v>2.0</v>
      </c>
      <c r="F48" s="2" t="s">
        <v>51</v>
      </c>
    </row>
    <row r="49">
      <c r="D49" s="2" t="s">
        <v>7</v>
      </c>
      <c r="E49" s="29">
        <v>2.0</v>
      </c>
      <c r="F49" s="2" t="s">
        <v>52</v>
      </c>
    </row>
    <row r="50">
      <c r="C50" s="28" t="s">
        <v>70</v>
      </c>
      <c r="D50" s="2" t="s">
        <v>5</v>
      </c>
      <c r="E50" s="29">
        <v>1.0</v>
      </c>
      <c r="F50" s="2" t="s">
        <v>49</v>
      </c>
    </row>
    <row r="51">
      <c r="D51" s="2" t="s">
        <v>5</v>
      </c>
      <c r="E51" s="29">
        <v>4.0</v>
      </c>
      <c r="F51" s="2" t="s">
        <v>50</v>
      </c>
    </row>
    <row r="52">
      <c r="D52" s="2" t="s">
        <v>6</v>
      </c>
      <c r="E52" s="29">
        <v>4.0</v>
      </c>
      <c r="F52" s="2" t="s">
        <v>51</v>
      </c>
    </row>
    <row r="53">
      <c r="D53" s="2" t="s">
        <v>7</v>
      </c>
      <c r="E53" s="29">
        <v>4.0</v>
      </c>
      <c r="F53" s="2" t="s">
        <v>52</v>
      </c>
    </row>
    <row r="54">
      <c r="B54" s="42" t="s">
        <v>71</v>
      </c>
      <c r="C54" s="28" t="s">
        <v>68</v>
      </c>
      <c r="D54" s="2" t="s">
        <v>5</v>
      </c>
      <c r="E54" s="29">
        <v>1.0</v>
      </c>
      <c r="F54" s="2" t="s">
        <v>49</v>
      </c>
    </row>
    <row r="55">
      <c r="D55" s="2" t="s">
        <v>5</v>
      </c>
      <c r="E55" s="29">
        <v>2.0</v>
      </c>
      <c r="F55" s="2" t="s">
        <v>50</v>
      </c>
    </row>
    <row r="56">
      <c r="D56" s="2" t="s">
        <v>6</v>
      </c>
      <c r="E56" s="29">
        <v>2.0</v>
      </c>
      <c r="F56" s="2" t="s">
        <v>51</v>
      </c>
    </row>
    <row r="57">
      <c r="D57" s="2" t="s">
        <v>7</v>
      </c>
      <c r="E57" s="29">
        <v>2.0</v>
      </c>
      <c r="F57" s="2" t="s">
        <v>52</v>
      </c>
    </row>
    <row r="58">
      <c r="C58" s="28" t="s">
        <v>69</v>
      </c>
      <c r="D58" s="2" t="s">
        <v>5</v>
      </c>
      <c r="E58" s="29">
        <v>1.0</v>
      </c>
      <c r="F58" s="2" t="s">
        <v>49</v>
      </c>
    </row>
    <row r="59">
      <c r="D59" s="2" t="s">
        <v>5</v>
      </c>
      <c r="E59" s="29">
        <v>2.0</v>
      </c>
      <c r="F59" s="2" t="s">
        <v>50</v>
      </c>
    </row>
    <row r="60">
      <c r="D60" s="2" t="s">
        <v>6</v>
      </c>
      <c r="E60" s="29">
        <v>2.0</v>
      </c>
      <c r="F60" s="2" t="s">
        <v>51</v>
      </c>
    </row>
    <row r="61">
      <c r="D61" s="2" t="s">
        <v>7</v>
      </c>
      <c r="E61" s="29">
        <v>2.0</v>
      </c>
      <c r="F61" s="2" t="s">
        <v>52</v>
      </c>
    </row>
    <row r="62">
      <c r="C62" s="28" t="s">
        <v>70</v>
      </c>
      <c r="D62" s="2" t="s">
        <v>5</v>
      </c>
      <c r="E62" s="29">
        <v>1.0</v>
      </c>
      <c r="F62" s="2" t="s">
        <v>49</v>
      </c>
    </row>
    <row r="63">
      <c r="D63" s="2" t="s">
        <v>5</v>
      </c>
      <c r="E63" s="29">
        <v>4.0</v>
      </c>
      <c r="F63" s="2" t="s">
        <v>50</v>
      </c>
    </row>
    <row r="64">
      <c r="D64" s="2" t="s">
        <v>6</v>
      </c>
      <c r="E64" s="29">
        <v>4.0</v>
      </c>
      <c r="F64" s="2" t="s">
        <v>51</v>
      </c>
    </row>
    <row r="65">
      <c r="D65" s="2" t="s">
        <v>7</v>
      </c>
      <c r="E65" s="29">
        <v>4.0</v>
      </c>
      <c r="F65" s="2" t="s">
        <v>52</v>
      </c>
    </row>
    <row r="66">
      <c r="A66" s="42" t="s">
        <v>60</v>
      </c>
      <c r="B66" s="42" t="s">
        <v>72</v>
      </c>
      <c r="C66" s="28" t="s">
        <v>73</v>
      </c>
      <c r="D66" s="2" t="s">
        <v>5</v>
      </c>
      <c r="E66" s="29">
        <v>1.0</v>
      </c>
      <c r="F66" s="2" t="s">
        <v>49</v>
      </c>
    </row>
    <row r="67">
      <c r="D67" s="2" t="s">
        <v>5</v>
      </c>
      <c r="E67" s="29">
        <v>6.0</v>
      </c>
      <c r="F67" s="2" t="s">
        <v>50</v>
      </c>
    </row>
    <row r="68">
      <c r="D68" s="2" t="s">
        <v>6</v>
      </c>
      <c r="E68" s="29">
        <v>6.0</v>
      </c>
      <c r="F68" s="2" t="s">
        <v>51</v>
      </c>
    </row>
    <row r="69">
      <c r="D69" s="2" t="s">
        <v>7</v>
      </c>
      <c r="E69" s="29">
        <v>6.0</v>
      </c>
      <c r="F69" s="2" t="s">
        <v>52</v>
      </c>
    </row>
    <row r="70">
      <c r="D70" s="2" t="s">
        <v>9</v>
      </c>
      <c r="E70" s="29">
        <v>1.0</v>
      </c>
      <c r="F70" s="2" t="s">
        <v>53</v>
      </c>
    </row>
    <row r="71">
      <c r="D71" s="2" t="s">
        <v>11</v>
      </c>
      <c r="E71" s="29">
        <v>1.0</v>
      </c>
      <c r="F71" s="2" t="s">
        <v>53</v>
      </c>
    </row>
    <row r="72">
      <c r="B72" s="42" t="s">
        <v>74</v>
      </c>
      <c r="C72" s="28" t="s">
        <v>73</v>
      </c>
      <c r="D72" s="43" t="s">
        <v>5</v>
      </c>
      <c r="E72" s="44">
        <v>1.0</v>
      </c>
      <c r="F72" s="43" t="s">
        <v>49</v>
      </c>
    </row>
    <row r="73">
      <c r="D73" s="43" t="s">
        <v>5</v>
      </c>
      <c r="E73" s="44">
        <v>6.0</v>
      </c>
      <c r="F73" s="43" t="s">
        <v>50</v>
      </c>
    </row>
    <row r="74">
      <c r="D74" s="43" t="s">
        <v>6</v>
      </c>
      <c r="E74" s="44">
        <v>6.0</v>
      </c>
      <c r="F74" s="45" t="s">
        <v>51</v>
      </c>
    </row>
    <row r="75">
      <c r="D75" s="43" t="s">
        <v>7</v>
      </c>
      <c r="E75" s="44">
        <v>6.0</v>
      </c>
      <c r="F75" s="43" t="s">
        <v>52</v>
      </c>
    </row>
    <row r="76">
      <c r="D76" s="28" t="s">
        <v>9</v>
      </c>
      <c r="E76" s="46">
        <v>1.0</v>
      </c>
      <c r="F76" s="28" t="s">
        <v>53</v>
      </c>
    </row>
    <row r="77">
      <c r="D77" s="28" t="s">
        <v>11</v>
      </c>
      <c r="E77" s="46">
        <v>1.0</v>
      </c>
      <c r="F77" s="28" t="s">
        <v>53</v>
      </c>
    </row>
    <row r="78">
      <c r="B78" s="42" t="s">
        <v>75</v>
      </c>
      <c r="C78" s="28" t="s">
        <v>73</v>
      </c>
      <c r="D78" s="43" t="s">
        <v>5</v>
      </c>
      <c r="E78" s="44">
        <v>1.0</v>
      </c>
      <c r="F78" s="43" t="s">
        <v>49</v>
      </c>
    </row>
    <row r="79">
      <c r="D79" s="43" t="s">
        <v>5</v>
      </c>
      <c r="E79" s="44">
        <v>6.0</v>
      </c>
      <c r="F79" s="43" t="s">
        <v>50</v>
      </c>
    </row>
    <row r="80">
      <c r="D80" s="43" t="s">
        <v>6</v>
      </c>
      <c r="E80" s="44">
        <v>6.0</v>
      </c>
      <c r="F80" s="45" t="s">
        <v>51</v>
      </c>
    </row>
    <row r="81">
      <c r="D81" s="43" t="s">
        <v>7</v>
      </c>
      <c r="E81" s="44">
        <v>6.0</v>
      </c>
      <c r="F81" s="43" t="s">
        <v>52</v>
      </c>
    </row>
    <row r="82">
      <c r="D82" s="2" t="s">
        <v>9</v>
      </c>
      <c r="E82" s="29">
        <v>1.0</v>
      </c>
      <c r="F82" s="2" t="s">
        <v>53</v>
      </c>
    </row>
    <row r="83">
      <c r="D83" s="2" t="s">
        <v>11</v>
      </c>
      <c r="E83" s="29">
        <v>1.0</v>
      </c>
      <c r="F83" s="2" t="s">
        <v>76</v>
      </c>
    </row>
    <row r="84">
      <c r="B84" s="42" t="s">
        <v>77</v>
      </c>
      <c r="C84" s="28" t="s">
        <v>73</v>
      </c>
      <c r="D84" s="43" t="s">
        <v>5</v>
      </c>
      <c r="E84" s="44">
        <v>1.0</v>
      </c>
      <c r="F84" s="43" t="s">
        <v>49</v>
      </c>
    </row>
    <row r="85">
      <c r="D85" s="43" t="s">
        <v>5</v>
      </c>
      <c r="E85" s="44">
        <v>6.0</v>
      </c>
      <c r="F85" s="43" t="s">
        <v>50</v>
      </c>
    </row>
    <row r="86">
      <c r="D86" s="43" t="s">
        <v>6</v>
      </c>
      <c r="E86" s="44">
        <v>6.0</v>
      </c>
      <c r="F86" s="45" t="s">
        <v>51</v>
      </c>
    </row>
    <row r="87">
      <c r="D87" s="43" t="s">
        <v>7</v>
      </c>
      <c r="E87" s="44">
        <v>6.0</v>
      </c>
      <c r="F87" s="43" t="s">
        <v>52</v>
      </c>
    </row>
    <row r="88">
      <c r="D88" s="2" t="s">
        <v>9</v>
      </c>
      <c r="E88" s="29">
        <v>1.0</v>
      </c>
      <c r="F88" s="2" t="s">
        <v>53</v>
      </c>
    </row>
    <row r="89">
      <c r="D89" s="2" t="s">
        <v>11</v>
      </c>
      <c r="E89" s="29">
        <v>1.0</v>
      </c>
      <c r="F89" s="2" t="s">
        <v>53</v>
      </c>
    </row>
    <row r="90">
      <c r="A90" s="42" t="s">
        <v>61</v>
      </c>
      <c r="B90" s="42" t="s">
        <v>78</v>
      </c>
      <c r="C90" s="28" t="s">
        <v>79</v>
      </c>
      <c r="D90" s="2" t="s">
        <v>5</v>
      </c>
      <c r="E90" s="29">
        <v>1.0</v>
      </c>
      <c r="F90" s="2" t="s">
        <v>49</v>
      </c>
    </row>
    <row r="91">
      <c r="D91" s="2" t="s">
        <v>5</v>
      </c>
      <c r="E91" s="29">
        <v>2.0</v>
      </c>
      <c r="F91" s="2" t="s">
        <v>50</v>
      </c>
    </row>
    <row r="92">
      <c r="D92" s="2" t="s">
        <v>6</v>
      </c>
      <c r="E92" s="29">
        <v>2.0</v>
      </c>
      <c r="F92" s="2" t="s">
        <v>51</v>
      </c>
    </row>
    <row r="93">
      <c r="D93" s="2" t="s">
        <v>7</v>
      </c>
      <c r="E93" s="29">
        <v>2.0</v>
      </c>
      <c r="F93" s="2" t="s">
        <v>52</v>
      </c>
    </row>
    <row r="94">
      <c r="C94" s="28" t="s">
        <v>80</v>
      </c>
      <c r="D94" s="2" t="s">
        <v>5</v>
      </c>
      <c r="E94" s="29">
        <v>1.0</v>
      </c>
      <c r="F94" s="2" t="s">
        <v>49</v>
      </c>
    </row>
    <row r="95">
      <c r="D95" s="2" t="s">
        <v>5</v>
      </c>
      <c r="E95" s="29">
        <v>2.0</v>
      </c>
      <c r="F95" s="2" t="s">
        <v>50</v>
      </c>
    </row>
    <row r="96">
      <c r="D96" s="2" t="s">
        <v>6</v>
      </c>
      <c r="E96" s="29">
        <v>2.0</v>
      </c>
      <c r="F96" s="2" t="s">
        <v>51</v>
      </c>
    </row>
    <row r="97">
      <c r="D97" s="2" t="s">
        <v>7</v>
      </c>
      <c r="E97" s="29">
        <v>2.0</v>
      </c>
      <c r="F97" s="2" t="s">
        <v>52</v>
      </c>
    </row>
    <row r="98">
      <c r="B98" s="42" t="s">
        <v>38</v>
      </c>
      <c r="C98" s="28" t="s">
        <v>73</v>
      </c>
      <c r="D98" s="2" t="s">
        <v>5</v>
      </c>
      <c r="E98" s="29">
        <v>1.0</v>
      </c>
      <c r="F98" s="2" t="s">
        <v>49</v>
      </c>
    </row>
    <row r="99">
      <c r="D99" s="2" t="s">
        <v>5</v>
      </c>
      <c r="E99" s="29">
        <v>2.0</v>
      </c>
      <c r="F99" s="2" t="s">
        <v>50</v>
      </c>
    </row>
    <row r="100">
      <c r="D100" s="2" t="s">
        <v>6</v>
      </c>
      <c r="E100" s="29">
        <v>2.0</v>
      </c>
      <c r="F100" s="2" t="s">
        <v>51</v>
      </c>
    </row>
    <row r="101">
      <c r="D101" s="2" t="s">
        <v>7</v>
      </c>
      <c r="E101" s="29">
        <v>2.0</v>
      </c>
      <c r="F101" s="2" t="s">
        <v>52</v>
      </c>
    </row>
    <row r="102">
      <c r="B102" s="42" t="s">
        <v>40</v>
      </c>
      <c r="C102" s="28" t="s">
        <v>73</v>
      </c>
      <c r="D102" s="43" t="s">
        <v>5</v>
      </c>
      <c r="E102" s="44">
        <v>1.0</v>
      </c>
      <c r="F102" s="43" t="s">
        <v>49</v>
      </c>
    </row>
    <row r="103">
      <c r="D103" s="2" t="s">
        <v>5</v>
      </c>
      <c r="E103" s="29">
        <v>2.0</v>
      </c>
      <c r="F103" s="2" t="s">
        <v>50</v>
      </c>
    </row>
    <row r="104">
      <c r="D104" s="2" t="s">
        <v>6</v>
      </c>
      <c r="E104" s="29">
        <v>2.0</v>
      </c>
      <c r="F104" s="2" t="s">
        <v>51</v>
      </c>
    </row>
    <row r="105">
      <c r="D105" s="2" t="s">
        <v>7</v>
      </c>
      <c r="E105" s="29">
        <v>2.0</v>
      </c>
      <c r="F105" s="2" t="s">
        <v>52</v>
      </c>
    </row>
  </sheetData>
  <mergeCells count="36">
    <mergeCell ref="B84:B89"/>
    <mergeCell ref="C84:C89"/>
    <mergeCell ref="B54:B65"/>
    <mergeCell ref="C54:C57"/>
    <mergeCell ref="C58:C61"/>
    <mergeCell ref="C62:C65"/>
    <mergeCell ref="A66:A89"/>
    <mergeCell ref="B66:B71"/>
    <mergeCell ref="C66:C71"/>
    <mergeCell ref="B16:B41"/>
    <mergeCell ref="C29:C41"/>
    <mergeCell ref="B42:B53"/>
    <mergeCell ref="C42:C45"/>
    <mergeCell ref="C46:C49"/>
    <mergeCell ref="C50:C53"/>
    <mergeCell ref="C2:C8"/>
    <mergeCell ref="J22:K22"/>
    <mergeCell ref="C9:C15"/>
    <mergeCell ref="A2:A65"/>
    <mergeCell ref="B2:B15"/>
    <mergeCell ref="H13:L13"/>
    <mergeCell ref="H14:L14"/>
    <mergeCell ref="H15:L15"/>
    <mergeCell ref="B72:B77"/>
    <mergeCell ref="C72:C77"/>
    <mergeCell ref="B78:B83"/>
    <mergeCell ref="C78:C83"/>
    <mergeCell ref="A90:A105"/>
    <mergeCell ref="B90:B97"/>
    <mergeCell ref="C90:C93"/>
    <mergeCell ref="C94:C97"/>
    <mergeCell ref="B98:B101"/>
    <mergeCell ref="C98:C101"/>
    <mergeCell ref="B102:B105"/>
    <mergeCell ref="C102:C105"/>
    <mergeCell ref="C16:C28"/>
  </mergeCells>
  <drawing r:id="rId4"/>
  <legacyDrawing r:id="rId5"/>
</worksheet>
</file>